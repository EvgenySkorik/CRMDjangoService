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Скорик Евгений\Desktop\"/>
    </mc:Choice>
  </mc:AlternateContent>
  <xr:revisionPtr revIDLastSave="0" documentId="13_ncr:1_{95613277-D226-4DCD-A96E-38D127D12C81}" xr6:coauthVersionLast="47" xr6:coauthVersionMax="47" xr10:uidLastSave="{00000000-0000-0000-0000-000000000000}"/>
  <bookViews>
    <workbookView xWindow="4695" yWindow="885" windowWidth="21345" windowHeight="1437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I20" i="1"/>
  <c r="I8" i="1"/>
</calcChain>
</file>

<file path=xl/sharedStrings.xml><?xml version="1.0" encoding="utf-8"?>
<sst xmlns="http://schemas.openxmlformats.org/spreadsheetml/2006/main" count="88" uniqueCount="59">
  <si>
    <t>Наименование товара</t>
  </si>
  <si>
    <t xml:space="preserve">Модель товара </t>
  </si>
  <si>
    <t>Ключевые тех. характеристики</t>
  </si>
  <si>
    <t>Ед. измерен. / объем в 1 ед.</t>
  </si>
  <si>
    <t>Ориентир. цена за ед. (с НДС)</t>
  </si>
  <si>
    <t>Кол-во</t>
  </si>
  <si>
    <t>Сумма</t>
  </si>
  <si>
    <t>Примечание</t>
  </si>
  <si>
    <t>Перья страусиные 25-30 см</t>
  </si>
  <si>
    <t xml:space="preserve"> Голубой цвет, 10 шт в упаковке</t>
  </si>
  <si>
    <t>уп.</t>
  </si>
  <si>
    <t>https://www.ozon.ru/product/10-shtuk-naturalnyh-strausinyh-perev-premium-klassa-25-30-sm-3122323074/?from=share_ios&amp;perehod=smm_share_button_productpage_link</t>
  </si>
  <si>
    <t>Белый цвет, 10 шт в упаковке</t>
  </si>
  <si>
    <t>https://www.ozon.ru/product/10-shtuk-naturalnyh-strausinyh-perev-premium-klassa-25-30-sm-3122321895/?from=share_ios&amp;perehod=smm_share_button_productpage_link</t>
  </si>
  <si>
    <t>Перья страусиные 15-20 см</t>
  </si>
  <si>
    <t>Лазурные, 10 шт в упаковке</t>
  </si>
  <si>
    <t>https://www.ozon.ru/product/10-sht-cherno-belyh-strausinyh-perev-15-20-sm-optom-dlya-rukodeliya-izgotovleniya-lovtsov-2719318624/?from_sku=2719318624&amp;oos_search=false</t>
  </si>
  <si>
    <t>Белые, 10 шт в упакевке</t>
  </si>
  <si>
    <t>https://www.ozon.ru/product/10-sht-cherno-belyh-strausinyh-perev-15-20-sm-optom-dlya-rukodeliya-izgotovleniya-lovtsov-2718857962/?from=share_ios&amp;perehod=smm_share_button_productpage_link</t>
  </si>
  <si>
    <t>Тесьма из перьев марабу</t>
  </si>
  <si>
    <t>Длина 100 см,</t>
  </si>
  <si>
    <t>шт</t>
  </si>
  <si>
    <t>https://www.ozon.ru/product/tesma-iz-perev-marabu-100sm-2426015539/?from=share_ios&amp;perehod=smm_share_button_productpage_link</t>
  </si>
  <si>
    <t>ИТОГО</t>
  </si>
  <si>
    <t>до 22 марта</t>
  </si>
  <si>
    <t>до 20 марта</t>
  </si>
  <si>
    <t>21 февраля</t>
  </si>
  <si>
    <t>Стеллаж металлический с полками</t>
  </si>
  <si>
    <t>Высота-1800 мм</t>
  </si>
  <si>
    <t>Ширина-  700 мм</t>
  </si>
  <si>
    <t>Глубина -300 мм</t>
  </si>
  <si>
    <t>Шт.</t>
  </si>
  <si>
    <t>https://www.ozon.ru/product/stellazh-otsinkovannyy-metallicheskiy-olimp-1800h700h300-dlya-hraneniya-6polok-napolnyy-dlya-doma-2137503120/?at=x6tPv4plvs4zGqxES5YLm1NsLl4zyKUMLLMLs5xyLvY&amp;from_sku=2137503120&amp;oos_search=false</t>
  </si>
  <si>
    <t>Кофры -чехлы (портплед) для  хранения и транспортировки костюмов</t>
  </si>
  <si>
    <t>Влагостойкий материал!</t>
  </si>
  <si>
    <t>https://www.ozon.ru/product/chehol-dlya-odezhdy-chehol-dlya-odezhdy-na-molnii-oksford-chernyy-kant-gold-170h60-sm-851302179/?at=VvtzyLVJytlZLO46UEg8lyQTLqXkKBT28k8gESEok0y3&amp;from_sku=895377748&amp;oos_search=false</t>
  </si>
  <si>
    <t>Чемодан дорожный L+</t>
  </si>
  <si>
    <t>Не менее 120 л</t>
  </si>
  <si>
    <t>https://www.ozon.ru/product/mr-carlson-chemodan-abs-plastik-77-sm-120-l-3328830550/?at=OgtEx9D8xFBnklmBU5PLJ8vuMxK1O6fXYzgpvUKRjP1D</t>
  </si>
  <si>
    <t>Парогенератор с утюгом Silter Super mini 2035</t>
  </si>
  <si>
    <t>Silter Super mini 2035</t>
  </si>
  <si>
    <t>https://market.yandex.ru/card/parogenerator-s-utyugom-silter-super-mini-2035-35-litra/4507399873?do-waremd5=6rNCp_pEtc0UOdHrWGwCow&amp;clid=703&amp;ogV=-10</t>
  </si>
  <si>
    <t>Таблетки «анти-моль»</t>
  </si>
  <si>
    <t>компл</t>
  </si>
  <si>
    <t>https://www.ozon.ru/product/sektsiya-ot-moli-s-zapahom-mandarina-kart-podveska-raptor-sredstvo-ot-moli-20-sektsiy-10-up-po-2-sht-1728455642/?at=EqtkXPvpgcZl3v3YtAno8jBTl25k8WuykB45Jh3lV5O8&amp;from_sku=248368315&amp;oos_search=false</t>
  </si>
  <si>
    <t>Стул для швейной машины</t>
  </si>
  <si>
    <t>Мягкий, спинка, колеса, БЕЗ ПОДЛОКОТНИКОВ!</t>
  </si>
  <si>
    <t>https://www.ozon.ru/product/stul-mastera-so-spinkoy-na-prorezinennyh-kolesah-2444814949/?at=GRt25nrAxcB9oEKMslGm9P6uWGJD2gC1pJRm1Fny1oAL</t>
  </si>
  <si>
    <t>Лампы для промышленных швейных машин</t>
  </si>
  <si>
    <t>На струбцине с кронштейном</t>
  </si>
  <si>
    <t>https://www.ozon.ru/product/svetilnik-dlya-shveynoy-mashiny-na-strubtsine-haimu-hm-99t-10-svetodiodov-662442545/?at=A6tGqYwEnc8KJNVKcoRE3rBhLv7g79f7BokQ6TXYyzzm</t>
  </si>
  <si>
    <t>Тефлоновый лист для термопресса 60х40 см</t>
  </si>
  <si>
    <t>https://www.ozon.ru/product/termostoykiy-teflonovyy-list-dlya-termopressa-40h60-sm-2099687558/?at=NOtwyV2p3cPBNzDvF0AK0XVfp4Y7w1UrBJVPxfzVYnAp</t>
  </si>
  <si>
    <t xml:space="preserve">Линейка металлическая 1 м </t>
  </si>
  <si>
    <t>https://www.ozon.ru/product/lineyka-metallicheskaya-100-sm-stalnaya-portnovskaya-dvustoronnyaya-dlya-ucheby-raboty-i-2031427705/?at=K8tZp8jkWHkPvzl2SzK4Kp7FPB1jZ5SrN76L9i8PDy4X</t>
  </si>
  <si>
    <t xml:space="preserve"> 50 м/п</t>
  </si>
  <si>
    <t>Крафт бумага 70-80 гр./м2</t>
  </si>
  <si>
    <t>https://www.ozon.ru/product/upakovochnaya-bumaga-v-rulone-kraftovaya-84-sm-h-50-m-plotnost-70-g-m2-2936953928/?at=w0tgr0DnxuE4vM4OC0ZogggIvV6qroFllEXlDfpv5Vg3</t>
  </si>
  <si>
    <t>инет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</si>
</sst>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A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  <charset val="204"/>
    </font>
    <font>
      <sz val="12"/>
      <color rgb="FF191817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0" fillId="0" borderId="0" xfId="0" applyNumberFormat="1"/>
    <xf numFmtId="3" fontId="4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0" fillId="2" borderId="0" xfId="0" applyFill="1"/>
    <xf numFmtId="0" fontId="2" fillId="0" borderId="9" xfId="0" applyFont="1" applyBorder="1" applyAlignment="1">
      <alignment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0" fillId="2" borderId="7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11" fillId="4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on.ru/product/mr-carlson-chemodan-abs-plastik-77-sm-120-l-3328830550/?at=OgtEx9D8xFBnklmBU5PLJ8vuMxK1O6fXYzgpvUKRjP1D" TargetMode="External"/><Relationship Id="rId13" Type="http://schemas.openxmlformats.org/officeDocument/2006/relationships/hyperlink" Target="https://www.ozon.ru/product/stul-mastera-so-spinkoy-na-prorezinennyh-kolesah-2444814949/?at=GRt25nrAxcB9oEKMslGm9P6uWGJD2gC1pJRm1Fny1oAL" TargetMode="External"/><Relationship Id="rId3" Type="http://schemas.openxmlformats.org/officeDocument/2006/relationships/hyperlink" Target="https://www.ozon.ru/product/10-sht-cherno-belyh-strausinyh-perev-15-20-sm-optom-dlya-rukodeliya-izgotovleniya-lovtsov-2719318624/?from_sku=2719318624&amp;oos_search=false" TargetMode="External"/><Relationship Id="rId7" Type="http://schemas.openxmlformats.org/officeDocument/2006/relationships/hyperlink" Target="https://www.ozon.ru/product/chehol-dlya-odezhdy-chehol-dlya-odezhdy-na-molnii-oksford-chernyy-kant-gold-170h60-sm-851302179/?at=VvtzyLVJytlZLO46UEg8lyQTLqXkKBT28k8gESEok0y3&amp;from_sku=895377748&amp;oos_search=false" TargetMode="External"/><Relationship Id="rId12" Type="http://schemas.openxmlformats.org/officeDocument/2006/relationships/hyperlink" Target="https://www.ozon.ru/product/svetilnik-dlya-shveynoy-mashiny-na-strubtsine-haimu-hm-99t-10-svetodiodov-662442545/?at=A6tGqYwEnc8KJNVKcoRE3rBhLv7g79f7BokQ6TXYyzzm" TargetMode="External"/><Relationship Id="rId2" Type="http://schemas.openxmlformats.org/officeDocument/2006/relationships/hyperlink" Target="https://www.ozon.ru/product/10-shtuk-naturalnyh-strausinyh-perev-premium-klassa-25-30-sm-3122321895/?from=share_ios&amp;perehod=smm_share_button_productpage_link" TargetMode="External"/><Relationship Id="rId1" Type="http://schemas.openxmlformats.org/officeDocument/2006/relationships/hyperlink" Target="https://www.ozon.ru/product/10-shtuk-naturalnyh-strausinyh-perev-premium-klassa-25-30-sm-3122323074/?from=share_ios&amp;perehod=smm_share_button_productpage_link" TargetMode="External"/><Relationship Id="rId6" Type="http://schemas.openxmlformats.org/officeDocument/2006/relationships/hyperlink" Target="https://www.ozon.ru/product/stellazh-otsinkovannyy-metallicheskiy-olimp-1800h700h300-dlya-hraneniya-6polok-napolnyy-dlya-doma-2137503120/?at=x6tPv4plvs4zGqxES5YLm1NsLl4zyKUMLLMLs5xyLvY&amp;from_sku=2137503120&amp;oos_search=false" TargetMode="External"/><Relationship Id="rId11" Type="http://schemas.openxmlformats.org/officeDocument/2006/relationships/hyperlink" Target="https://www.ozon.ru/product/upakovochnaya-bumaga-v-rulone-kraftovaya-84-sm-h-50-m-plotnost-70-g-m2-2936953928/?at=w0tgr0DnxuE4vM4OC0ZogggIvV6qroFllEXlDfpv5Vg3" TargetMode="External"/><Relationship Id="rId5" Type="http://schemas.openxmlformats.org/officeDocument/2006/relationships/hyperlink" Target="https://www.ozon.ru/product/tesma-iz-perev-marabu-100sm-2426015539/?from=share_ios&amp;perehod=smm_share_button_productpage_link" TargetMode="External"/><Relationship Id="rId10" Type="http://schemas.openxmlformats.org/officeDocument/2006/relationships/hyperlink" Target="https://www.ozon.ru/product/lineyka-metallicheskaya-100-sm-stalnaya-portnovskaya-dvustoronnyaya-dlya-ucheby-raboty-i-2031427705/?at=K8tZp8jkWHkPvzl2SzK4Kp7FPB1jZ5SrN76L9i8PDy4X" TargetMode="External"/><Relationship Id="rId4" Type="http://schemas.openxmlformats.org/officeDocument/2006/relationships/hyperlink" Target="https://www.ozon.ru/product/10-sht-cherno-belyh-strausinyh-perev-15-20-sm-optom-dlya-rukodeliya-izgotovleniya-lovtsov-2718857962/?from=share_ios&amp;perehod=smm_share_button_productpage_link" TargetMode="External"/><Relationship Id="rId9" Type="http://schemas.openxmlformats.org/officeDocument/2006/relationships/hyperlink" Target="https://www.ozon.ru/product/termostoykiy-teflonovyy-list-dlya-termopressa-40h60-sm-2099687558/?at=NOtwyV2p3cPBNzDvF0AK0XVfp4Y7w1UrBJVPxfzVYnAp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8" workbookViewId="0">
      <selection activeCell="J35" sqref="J26:J35"/>
    </sheetView>
  </sheetViews>
  <sheetFormatPr defaultRowHeight="15" x14ac:dyDescent="0.25"/>
  <cols>
    <col min="1" max="1" width="20.42578125" customWidth="1"/>
    <col min="2" max="7" width="15.28515625" customWidth="1"/>
    <col min="8" max="8" width="44.7109375" customWidth="1"/>
    <col min="9" max="9" width="15.28515625" customWidth="1"/>
    <col min="10" max="10" width="16.140625" customWidth="1"/>
  </cols>
  <sheetData>
    <row r="1" spans="1:10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10" ht="15.75" thickBot="1" x14ac:dyDescent="0.3">
      <c r="A2" s="22"/>
      <c r="B2" s="22"/>
      <c r="C2" s="22"/>
      <c r="D2" s="22"/>
      <c r="E2" s="22"/>
      <c r="F2" s="22"/>
      <c r="G2" s="22"/>
      <c r="H2" s="22"/>
    </row>
    <row r="3" spans="1:10" ht="75.75" thickBot="1" x14ac:dyDescent="0.3">
      <c r="A3" s="2" t="s">
        <v>8</v>
      </c>
      <c r="B3" s="1"/>
      <c r="C3" s="1" t="s">
        <v>9</v>
      </c>
      <c r="D3" s="3" t="s">
        <v>10</v>
      </c>
      <c r="E3" s="3">
        <v>1300</v>
      </c>
      <c r="F3" s="3">
        <v>10</v>
      </c>
      <c r="G3" s="3">
        <v>13000</v>
      </c>
      <c r="H3" s="7" t="s">
        <v>11</v>
      </c>
      <c r="I3" s="20">
        <v>4640</v>
      </c>
      <c r="J3" s="20" t="s">
        <v>26</v>
      </c>
    </row>
    <row r="4" spans="1:10" ht="75.75" thickBot="1" x14ac:dyDescent="0.3">
      <c r="A4" s="2" t="s">
        <v>8</v>
      </c>
      <c r="B4" s="1"/>
      <c r="C4" s="1" t="s">
        <v>12</v>
      </c>
      <c r="D4" s="3" t="s">
        <v>10</v>
      </c>
      <c r="E4" s="3">
        <v>1300</v>
      </c>
      <c r="F4" s="3">
        <v>10</v>
      </c>
      <c r="G4" s="3">
        <v>13000</v>
      </c>
      <c r="H4" s="7" t="s">
        <v>13</v>
      </c>
      <c r="I4" s="8">
        <v>2690</v>
      </c>
      <c r="J4" t="s">
        <v>25</v>
      </c>
    </row>
    <row r="5" spans="1:10" ht="75.75" thickBot="1" x14ac:dyDescent="0.3">
      <c r="A5" s="2" t="s">
        <v>14</v>
      </c>
      <c r="B5" s="1"/>
      <c r="C5" s="1" t="s">
        <v>15</v>
      </c>
      <c r="D5" s="3" t="s">
        <v>10</v>
      </c>
      <c r="E5" s="3">
        <v>300</v>
      </c>
      <c r="F5" s="3">
        <v>10</v>
      </c>
      <c r="G5" s="3">
        <v>3000</v>
      </c>
      <c r="H5" s="7" t="s">
        <v>16</v>
      </c>
      <c r="I5" s="26">
        <v>8640</v>
      </c>
    </row>
    <row r="6" spans="1:10" ht="75.75" thickBot="1" x14ac:dyDescent="0.3">
      <c r="A6" s="2" t="s">
        <v>14</v>
      </c>
      <c r="B6" s="1"/>
      <c r="C6" s="1" t="s">
        <v>17</v>
      </c>
      <c r="D6" s="3" t="s">
        <v>10</v>
      </c>
      <c r="E6" s="3">
        <v>300</v>
      </c>
      <c r="F6" s="3">
        <v>10</v>
      </c>
      <c r="G6" s="3">
        <v>3000</v>
      </c>
      <c r="H6" s="7" t="s">
        <v>18</v>
      </c>
      <c r="I6" s="26"/>
      <c r="J6" t="s">
        <v>24</v>
      </c>
    </row>
    <row r="7" spans="1:10" ht="60.75" thickBot="1" x14ac:dyDescent="0.3">
      <c r="A7" s="2" t="s">
        <v>19</v>
      </c>
      <c r="B7" s="1"/>
      <c r="C7" s="1" t="s">
        <v>20</v>
      </c>
      <c r="D7" s="3" t="s">
        <v>21</v>
      </c>
      <c r="E7" s="3">
        <v>500</v>
      </c>
      <c r="F7" s="3">
        <v>5</v>
      </c>
      <c r="G7" s="3">
        <v>2500</v>
      </c>
      <c r="H7" s="7" t="s">
        <v>22</v>
      </c>
      <c r="I7" s="26"/>
      <c r="J7" s="20"/>
    </row>
    <row r="8" spans="1:10" ht="16.5" thickBot="1" x14ac:dyDescent="0.3">
      <c r="A8" s="23" t="s">
        <v>23</v>
      </c>
      <c r="B8" s="24"/>
      <c r="C8" s="24"/>
      <c r="D8" s="24"/>
      <c r="E8" s="24"/>
      <c r="F8" s="25"/>
      <c r="G8" s="5">
        <v>34500</v>
      </c>
      <c r="H8" s="6"/>
      <c r="I8" s="11">
        <f>SUM(I3:I7)</f>
        <v>15970</v>
      </c>
    </row>
    <row r="11" spans="1:10" ht="15.75" thickBot="1" x14ac:dyDescent="0.3"/>
    <row r="12" spans="1:10" ht="31.5" customHeight="1" x14ac:dyDescent="0.25">
      <c r="A12" s="21" t="s">
        <v>0</v>
      </c>
      <c r="B12" s="21" t="s">
        <v>1</v>
      </c>
      <c r="C12" s="21" t="s">
        <v>2</v>
      </c>
      <c r="D12" s="21" t="s">
        <v>3</v>
      </c>
      <c r="E12" s="21" t="s">
        <v>4</v>
      </c>
      <c r="F12" s="21" t="s">
        <v>5</v>
      </c>
      <c r="G12" s="21" t="s">
        <v>6</v>
      </c>
      <c r="H12" s="21" t="s">
        <v>7</v>
      </c>
    </row>
    <row r="13" spans="1:10" ht="15.75" thickBot="1" x14ac:dyDescent="0.3">
      <c r="A13" s="22"/>
      <c r="B13" s="22"/>
      <c r="C13" s="22"/>
      <c r="D13" s="22"/>
      <c r="E13" s="22"/>
      <c r="F13" s="22"/>
      <c r="G13" s="22"/>
      <c r="H13" s="22"/>
    </row>
    <row r="14" spans="1:10" ht="31.5" x14ac:dyDescent="0.25">
      <c r="A14" s="27" t="s">
        <v>27</v>
      </c>
      <c r="B14" s="21"/>
      <c r="C14" s="9" t="s">
        <v>28</v>
      </c>
      <c r="D14" s="27" t="s">
        <v>31</v>
      </c>
      <c r="E14" s="31">
        <v>4000</v>
      </c>
      <c r="F14" s="27">
        <v>2</v>
      </c>
      <c r="G14" s="31">
        <v>8000</v>
      </c>
      <c r="H14" s="34" t="s">
        <v>32</v>
      </c>
      <c r="I14" s="8"/>
      <c r="J14" s="20"/>
    </row>
    <row r="15" spans="1:10" ht="31.5" x14ac:dyDescent="0.25">
      <c r="A15" s="28"/>
      <c r="B15" s="30"/>
      <c r="C15" s="9" t="s">
        <v>29</v>
      </c>
      <c r="D15" s="28"/>
      <c r="E15" s="32"/>
      <c r="F15" s="28"/>
      <c r="G15" s="32"/>
      <c r="H15" s="35"/>
      <c r="I15" s="8">
        <v>6290</v>
      </c>
      <c r="J15" s="20"/>
    </row>
    <row r="16" spans="1:10" ht="31.5" x14ac:dyDescent="0.25">
      <c r="A16" s="28"/>
      <c r="B16" s="30"/>
      <c r="C16" s="9" t="s">
        <v>30</v>
      </c>
      <c r="D16" s="28"/>
      <c r="E16" s="32"/>
      <c r="F16" s="28"/>
      <c r="G16" s="32"/>
      <c r="H16" s="35"/>
      <c r="I16" s="8"/>
      <c r="J16" s="20"/>
    </row>
    <row r="17" spans="1:10" ht="16.5" thickBot="1" x14ac:dyDescent="0.3">
      <c r="A17" s="29"/>
      <c r="B17" s="22"/>
      <c r="C17" s="1"/>
      <c r="D17" s="29"/>
      <c r="E17" s="33"/>
      <c r="F17" s="29"/>
      <c r="G17" s="33"/>
      <c r="H17" s="36"/>
      <c r="I17" s="8"/>
      <c r="J17" s="20"/>
    </row>
    <row r="18" spans="1:10" ht="90.75" thickBot="1" x14ac:dyDescent="0.3">
      <c r="A18" s="2" t="s">
        <v>33</v>
      </c>
      <c r="B18" s="1"/>
      <c r="C18" s="1" t="s">
        <v>34</v>
      </c>
      <c r="D18" s="3" t="s">
        <v>31</v>
      </c>
      <c r="E18" s="3">
        <v>800</v>
      </c>
      <c r="F18" s="3">
        <v>20</v>
      </c>
      <c r="G18" s="10">
        <v>16000</v>
      </c>
      <c r="H18" s="7" t="s">
        <v>35</v>
      </c>
      <c r="I18" s="19">
        <v>12460</v>
      </c>
      <c r="J18" s="20"/>
    </row>
    <row r="19" spans="1:10" ht="60.75" thickBot="1" x14ac:dyDescent="0.3">
      <c r="A19" s="2" t="s">
        <v>36</v>
      </c>
      <c r="B19" s="1"/>
      <c r="C19" s="1" t="s">
        <v>37</v>
      </c>
      <c r="D19" s="3" t="s">
        <v>31</v>
      </c>
      <c r="E19" s="10">
        <v>6000</v>
      </c>
      <c r="F19" s="3">
        <v>2</v>
      </c>
      <c r="G19" s="10">
        <v>12000</v>
      </c>
      <c r="H19" s="7" t="s">
        <v>38</v>
      </c>
      <c r="I19" s="8">
        <v>7900</v>
      </c>
    </row>
    <row r="20" spans="1:10" ht="16.5" thickBot="1" x14ac:dyDescent="0.3">
      <c r="A20" s="23" t="s">
        <v>23</v>
      </c>
      <c r="B20" s="24"/>
      <c r="C20" s="24"/>
      <c r="D20" s="24"/>
      <c r="E20" s="24"/>
      <c r="F20" s="25"/>
      <c r="G20" s="5">
        <v>36000</v>
      </c>
      <c r="H20" s="6"/>
      <c r="I20">
        <f>SUM(I15:I19)</f>
        <v>26650</v>
      </c>
    </row>
    <row r="23" spans="1:10" ht="15.75" thickBot="1" x14ac:dyDescent="0.3"/>
    <row r="24" spans="1:10" ht="31.5" customHeight="1" x14ac:dyDescent="0.25">
      <c r="A24" s="21" t="s">
        <v>0</v>
      </c>
      <c r="B24" s="21" t="s">
        <v>1</v>
      </c>
      <c r="C24" s="21" t="s">
        <v>2</v>
      </c>
      <c r="D24" s="21" t="s">
        <v>3</v>
      </c>
      <c r="E24" s="21" t="s">
        <v>4</v>
      </c>
      <c r="F24" s="21" t="s">
        <v>5</v>
      </c>
      <c r="G24" s="21" t="s">
        <v>6</v>
      </c>
      <c r="H24" s="21" t="s">
        <v>7</v>
      </c>
    </row>
    <row r="25" spans="1:10" ht="15.75" thickBot="1" x14ac:dyDescent="0.3">
      <c r="A25" s="22"/>
      <c r="B25" s="22"/>
      <c r="C25" s="22"/>
      <c r="D25" s="22"/>
      <c r="E25" s="22"/>
      <c r="F25" s="22"/>
      <c r="G25" s="22"/>
      <c r="H25" s="22"/>
    </row>
    <row r="26" spans="1:10" ht="51.75" thickBot="1" x14ac:dyDescent="0.3">
      <c r="A26" s="12" t="s">
        <v>39</v>
      </c>
      <c r="B26" s="13" t="s">
        <v>40</v>
      </c>
      <c r="C26" s="1"/>
      <c r="D26" s="3" t="s">
        <v>21</v>
      </c>
      <c r="E26" s="10">
        <v>35000</v>
      </c>
      <c r="F26" s="3">
        <v>1</v>
      </c>
      <c r="G26" s="10">
        <v>35000</v>
      </c>
      <c r="H26" s="14" t="s">
        <v>41</v>
      </c>
      <c r="I26" s="8">
        <v>29000</v>
      </c>
      <c r="J26" s="48" t="s">
        <v>58</v>
      </c>
    </row>
    <row r="27" spans="1:10" ht="77.25" thickBot="1" x14ac:dyDescent="0.3">
      <c r="A27" s="2" t="s">
        <v>42</v>
      </c>
      <c r="B27" s="1"/>
      <c r="C27" s="1"/>
      <c r="D27" s="15" t="s">
        <v>43</v>
      </c>
      <c r="E27" s="3">
        <v>100</v>
      </c>
      <c r="F27" s="3">
        <v>10</v>
      </c>
      <c r="G27" s="3">
        <v>1000</v>
      </c>
      <c r="H27" s="14" t="s">
        <v>44</v>
      </c>
      <c r="I27" s="8">
        <v>647</v>
      </c>
      <c r="J27" s="20"/>
    </row>
    <row r="28" spans="1:10" ht="79.5" thickBot="1" x14ac:dyDescent="0.3">
      <c r="A28" s="16" t="s">
        <v>45</v>
      </c>
      <c r="B28" s="17"/>
      <c r="C28" s="18" t="s">
        <v>46</v>
      </c>
      <c r="D28" s="15" t="s">
        <v>21</v>
      </c>
      <c r="E28" s="3">
        <v>5000</v>
      </c>
      <c r="F28" s="3">
        <v>4</v>
      </c>
      <c r="G28" s="10">
        <v>20000</v>
      </c>
      <c r="H28" s="7" t="s">
        <v>47</v>
      </c>
      <c r="I28" s="8">
        <v>14300</v>
      </c>
      <c r="J28" s="20"/>
    </row>
    <row r="29" spans="1:10" ht="75.75" thickBot="1" x14ac:dyDescent="0.3">
      <c r="A29" s="16" t="s">
        <v>48</v>
      </c>
      <c r="B29" s="17"/>
      <c r="C29" s="18" t="s">
        <v>49</v>
      </c>
      <c r="D29" s="15" t="s">
        <v>21</v>
      </c>
      <c r="E29" s="3">
        <v>4000</v>
      </c>
      <c r="F29" s="3">
        <v>4</v>
      </c>
      <c r="G29" s="10">
        <v>16000</v>
      </c>
      <c r="H29" s="7" t="s">
        <v>50</v>
      </c>
      <c r="I29" s="8">
        <v>9080</v>
      </c>
      <c r="J29" s="48"/>
    </row>
    <row r="30" spans="1:10" ht="44.25" customHeight="1" x14ac:dyDescent="0.25">
      <c r="A30" s="38" t="s">
        <v>51</v>
      </c>
      <c r="B30" s="40"/>
      <c r="C30" s="40"/>
      <c r="D30" s="42"/>
      <c r="E30" s="27">
        <v>1200</v>
      </c>
      <c r="F30" s="27">
        <v>1</v>
      </c>
      <c r="G30" s="27">
        <v>1200</v>
      </c>
      <c r="H30" s="34" t="s">
        <v>52</v>
      </c>
      <c r="I30" s="8">
        <v>878</v>
      </c>
      <c r="J30" s="20"/>
    </row>
    <row r="31" spans="1:10" ht="15.75" thickBot="1" x14ac:dyDescent="0.3">
      <c r="A31" s="39"/>
      <c r="B31" s="41"/>
      <c r="C31" s="41"/>
      <c r="D31" s="43"/>
      <c r="E31" s="29"/>
      <c r="F31" s="29"/>
      <c r="G31" s="29"/>
      <c r="H31" s="37"/>
      <c r="J31" s="20"/>
    </row>
    <row r="32" spans="1:10" ht="59.25" customHeight="1" x14ac:dyDescent="0.25">
      <c r="A32" s="44" t="s">
        <v>53</v>
      </c>
      <c r="B32" s="40"/>
      <c r="C32" s="40"/>
      <c r="D32" s="42"/>
      <c r="E32" s="27">
        <v>1000</v>
      </c>
      <c r="F32" s="27">
        <v>2</v>
      </c>
      <c r="G32" s="27">
        <v>2000</v>
      </c>
      <c r="H32" s="34" t="s">
        <v>54</v>
      </c>
      <c r="I32" s="8">
        <v>726</v>
      </c>
      <c r="J32" s="20"/>
    </row>
    <row r="33" spans="1:10" ht="15.75" thickBot="1" x14ac:dyDescent="0.3">
      <c r="A33" s="45"/>
      <c r="B33" s="41"/>
      <c r="C33" s="41"/>
      <c r="D33" s="43"/>
      <c r="E33" s="29"/>
      <c r="F33" s="29"/>
      <c r="G33" s="29"/>
      <c r="H33" s="37"/>
      <c r="J33" s="20"/>
    </row>
    <row r="34" spans="1:10" ht="59.25" customHeight="1" x14ac:dyDescent="0.25">
      <c r="A34" s="44" t="s">
        <v>56</v>
      </c>
      <c r="B34" s="46" t="s">
        <v>55</v>
      </c>
      <c r="C34" s="40"/>
      <c r="D34" s="42" t="s">
        <v>21</v>
      </c>
      <c r="E34" s="27">
        <v>1000</v>
      </c>
      <c r="F34" s="27">
        <v>1</v>
      </c>
      <c r="G34" s="27">
        <v>1000</v>
      </c>
      <c r="H34" s="34" t="s">
        <v>57</v>
      </c>
      <c r="I34" s="8">
        <v>848</v>
      </c>
      <c r="J34" s="20"/>
    </row>
    <row r="35" spans="1:10" ht="15.75" thickBot="1" x14ac:dyDescent="0.3">
      <c r="A35" s="45"/>
      <c r="B35" s="47"/>
      <c r="C35" s="41"/>
      <c r="D35" s="43"/>
      <c r="E35" s="29"/>
      <c r="F35" s="29"/>
      <c r="G35" s="29"/>
      <c r="H35" s="37"/>
      <c r="J35" s="20"/>
    </row>
    <row r="36" spans="1:10" ht="16.5" thickBot="1" x14ac:dyDescent="0.3">
      <c r="A36" s="23" t="s">
        <v>23</v>
      </c>
      <c r="B36" s="24"/>
      <c r="C36" s="24"/>
      <c r="D36" s="24"/>
      <c r="E36" s="24"/>
      <c r="F36" s="25"/>
      <c r="G36" s="5">
        <f>SUM(G26:G35)</f>
        <v>76200</v>
      </c>
      <c r="H36" s="6"/>
      <c r="I36">
        <v>56400</v>
      </c>
    </row>
    <row r="37" spans="1:10" x14ac:dyDescent="0.25">
      <c r="G37" s="4"/>
    </row>
  </sheetData>
  <mergeCells count="59">
    <mergeCell ref="A36:F36"/>
    <mergeCell ref="A34:A35"/>
    <mergeCell ref="B34:B35"/>
    <mergeCell ref="C34:C35"/>
    <mergeCell ref="D34:D35"/>
    <mergeCell ref="E34:E35"/>
    <mergeCell ref="F34:F35"/>
    <mergeCell ref="G34:G35"/>
    <mergeCell ref="H34:H35"/>
    <mergeCell ref="A32:A33"/>
    <mergeCell ref="B32:B33"/>
    <mergeCell ref="C32:C33"/>
    <mergeCell ref="D32:D33"/>
    <mergeCell ref="E32:E33"/>
    <mergeCell ref="F32:F33"/>
    <mergeCell ref="G32:G33"/>
    <mergeCell ref="H32:H33"/>
    <mergeCell ref="G30:G31"/>
    <mergeCell ref="H30:H31"/>
    <mergeCell ref="A30:A31"/>
    <mergeCell ref="B30:B31"/>
    <mergeCell ref="C30:C31"/>
    <mergeCell ref="D30:D31"/>
    <mergeCell ref="E30:E31"/>
    <mergeCell ref="F30:F31"/>
    <mergeCell ref="G24:G25"/>
    <mergeCell ref="H24:H25"/>
    <mergeCell ref="A20:F20"/>
    <mergeCell ref="A24:A25"/>
    <mergeCell ref="B24:B25"/>
    <mergeCell ref="C24:C25"/>
    <mergeCell ref="D24:D25"/>
    <mergeCell ref="E24:E25"/>
    <mergeCell ref="F24:F25"/>
    <mergeCell ref="G12:G13"/>
    <mergeCell ref="H12:H13"/>
    <mergeCell ref="A14:A17"/>
    <mergeCell ref="B14:B17"/>
    <mergeCell ref="D14:D17"/>
    <mergeCell ref="E14:E17"/>
    <mergeCell ref="F14:F17"/>
    <mergeCell ref="G14:G17"/>
    <mergeCell ref="H14:H17"/>
    <mergeCell ref="G1:G2"/>
    <mergeCell ref="H1:H2"/>
    <mergeCell ref="A8:F8"/>
    <mergeCell ref="I5:I7"/>
    <mergeCell ref="A12:A13"/>
    <mergeCell ref="B12:B13"/>
    <mergeCell ref="C12:C13"/>
    <mergeCell ref="D12:D13"/>
    <mergeCell ref="E12:E13"/>
    <mergeCell ref="F12:F13"/>
    <mergeCell ref="A1:A2"/>
    <mergeCell ref="B1:B2"/>
    <mergeCell ref="C1:C2"/>
    <mergeCell ref="D1:D2"/>
    <mergeCell ref="E1:E2"/>
    <mergeCell ref="F1:F2"/>
  </mergeCells>
  <hyperlinks>
    <hyperlink ref="H3" r:id="rId1" xr:uid="{319A9DBB-A497-4756-8208-F13940C9F8CA}"/>
    <hyperlink ref="H4" r:id="rId2" xr:uid="{9C8B4C93-5079-4452-9AD3-1858E9C10BBF}"/>
    <hyperlink ref="H5" r:id="rId3" xr:uid="{B3B12D03-C811-41A5-A1DE-6966179BDAA6}"/>
    <hyperlink ref="H6" r:id="rId4" xr:uid="{90F0CB67-C476-4AF4-9F31-74138E721FE0}"/>
    <hyperlink ref="H7" r:id="rId5" xr:uid="{76969D28-711B-4D47-A59C-03DEEEF24E00}"/>
    <hyperlink ref="H14" r:id="rId6" xr:uid="{D6DDA307-1C48-4A59-BFA6-FA1DE1C81448}"/>
    <hyperlink ref="H18" r:id="rId7" xr:uid="{9FB339E4-B0D4-4ED1-86F6-6B1180F1BB55}"/>
    <hyperlink ref="H19" r:id="rId8" xr:uid="{5EEBBE42-508C-432B-8FDB-A27DF9769F86}"/>
    <hyperlink ref="H30" r:id="rId9" xr:uid="{AD567A56-DDBE-4E80-98F2-10983D9A4DB0}"/>
    <hyperlink ref="H32" r:id="rId10" xr:uid="{2F5F3239-D7B7-42FF-BD70-8D948A03CB1C}"/>
    <hyperlink ref="H34" r:id="rId11" xr:uid="{B548CEF8-B642-4AA3-897B-AD22C249134A}"/>
    <hyperlink ref="H29" r:id="rId12" xr:uid="{0BC8D2B4-DCF8-4F85-88DF-4815D0EE53CE}"/>
    <hyperlink ref="H28" r:id="rId13" xr:uid="{F39F800B-470E-4C06-818B-CA246F7E0059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SKORIK</dc:creator>
  <cp:lastModifiedBy>Evgeny Skorik</cp:lastModifiedBy>
  <dcterms:created xsi:type="dcterms:W3CDTF">2015-06-05T18:19:34Z</dcterms:created>
  <dcterms:modified xsi:type="dcterms:W3CDTF">2026-03-16T14:04:33Z</dcterms:modified>
</cp:coreProperties>
</file>